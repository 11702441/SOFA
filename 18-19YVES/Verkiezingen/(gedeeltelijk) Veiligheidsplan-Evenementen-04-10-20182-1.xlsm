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nito\Desktop\40\"/>
    </mc:Choice>
  </mc:AlternateContent>
  <xr:revisionPtr revIDLastSave="0" documentId="13_ncr:1_{B85C2296-D091-4DA3-A8E0-F28BB0D3C6F2}" xr6:coauthVersionLast="41" xr6:coauthVersionMax="41" xr10:uidLastSave="{00000000-0000-0000-0000-000000000000}"/>
  <bookViews>
    <workbookView xWindow="-108" yWindow="-108" windowWidth="23256" windowHeight="13176" tabRatio="677" xr2:uid="{00000000-000D-0000-FFFF-FFFF00000000}"/>
  </bookViews>
  <sheets>
    <sheet name="Gegevens aanvrager" sheetId="1" r:id="rId1"/>
    <sheet name="Inplantingsplan" sheetId="6" r:id="rId2"/>
    <sheet name="Organisatie" sheetId="8" r:id="rId3"/>
  </sheets>
  <definedNames>
    <definedName name="_xlnm.Print_Area" localSheetId="0">'Gegevens aanvrager'!$A$1:$E$35</definedName>
    <definedName name="_xlnm.Print_Area" localSheetId="1">Inplantingsplan!$B$6:$Z$46</definedName>
    <definedName name="_xlnm.Print_Area" localSheetId="2">Organisatie!$A$1:$D$28</definedName>
  </definedNames>
  <calcPr calcId="191029"/>
  <customWorkbookViews>
    <customWorkbookView name="Marc Thijs - Persoonlijke weergave" guid="{347D868E-E11A-5449-816D-9BC9140AEA2D}" mergeInterval="0" personalView="1" yWindow="23" windowWidth="1680" windowHeight="977" tabRatio="500" activeSheetId="4"/>
  </customWorkbookView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9" i="1" l="1"/>
  <c r="I8" i="1"/>
  <c r="I12" i="1" l="1"/>
  <c r="B34" i="1" s="1"/>
  <c r="I11" i="1"/>
  <c r="B33" i="1" s="1"/>
  <c r="J29" i="1"/>
  <c r="J28" i="1"/>
  <c r="J27" i="1"/>
  <c r="J26" i="1"/>
  <c r="B31" i="1"/>
  <c r="B7" i="8" l="1"/>
  <c r="B6" i="8"/>
  <c r="B5" i="8"/>
  <c r="B4" i="8"/>
  <c r="B3" i="8"/>
  <c r="B2" i="8"/>
  <c r="I10" i="1" l="1"/>
  <c r="B35" i="1" s="1"/>
  <c r="J4" i="6"/>
  <c r="J30" i="1" l="1"/>
  <c r="B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 Thijs</author>
  </authors>
  <commentList>
    <comment ref="F8" authorId="0" shapeId="0" xr:uid="{00000000-0006-0000-0000-000001000000}">
      <text>
        <r>
          <rPr>
            <sz val="16"/>
            <color rgb="FF000000"/>
            <rFont val="Calibri"/>
            <family val="2"/>
          </rPr>
          <t xml:space="preserve">De gele velden dienen worden ingevuld. 
</t>
        </r>
        <r>
          <rPr>
            <sz val="16"/>
            <color rgb="FF000000"/>
            <rFont val="Calibri"/>
            <family val="2"/>
          </rPr>
          <t xml:space="preserve">De grijze knoppen dient u stap voor stap aan te klikken en de gestelde vraag beantwoorden door Ja of Neen. 
</t>
        </r>
        <r>
          <rPr>
            <sz val="16"/>
            <color rgb="FF000000"/>
            <rFont val="Calibri"/>
            <family val="2"/>
          </rPr>
          <t xml:space="preserve">Na het invullen van het gewenste tabblad gaat u steeds terug naar het basis blad 
</t>
        </r>
        <r>
          <rPr>
            <b/>
            <u/>
            <sz val="16"/>
            <color rgb="FF000000"/>
            <rFont val="Calibri"/>
            <family val="2"/>
          </rPr>
          <t>"gegevens aanvrager"</t>
        </r>
        <r>
          <rPr>
            <sz val="16"/>
            <color rgb="FF000000"/>
            <rFont val="Calibri"/>
            <family val="2"/>
          </rPr>
          <t xml:space="preserve">.
</t>
        </r>
        <r>
          <rPr>
            <sz val="16"/>
            <color rgb="FF000000"/>
            <rFont val="Calibri"/>
            <family val="2"/>
          </rPr>
          <t xml:space="preserve">Na het opslaan mail je dit naar </t>
        </r>
        <r>
          <rPr>
            <u/>
            <sz val="16"/>
            <color rgb="FF000000"/>
            <rFont val="Calibri"/>
            <family val="2"/>
          </rPr>
          <t>preventie@zuidwestlimburg.be</t>
        </r>
        <r>
          <rPr>
            <sz val="16"/>
            <color rgb="FF000000"/>
            <rFont val="Calibri"/>
            <family val="2"/>
          </rPr>
          <t xml:space="preserve"> met vermelding van het eventuele dossiernummer;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 Thijs</author>
  </authors>
  <commentList>
    <comment ref="K2" authorId="0" shapeId="0" xr:uid="{00000000-0006-0000-0600-000001000000}">
      <text>
        <r>
          <rPr>
            <sz val="10"/>
            <color rgb="FF000000"/>
            <rFont val="Tahoma"/>
            <family val="2"/>
          </rPr>
          <t xml:space="preserve">Ga naar "aan de slag"
</t>
        </r>
        <r>
          <rPr>
            <sz val="10"/>
            <color rgb="FF000000"/>
            <rFont val="Tahoma"/>
            <family val="2"/>
          </rPr>
          <t xml:space="preserve">Maak indien nodig een Google account aan.
</t>
        </r>
        <r>
          <rPr>
            <sz val="10"/>
            <color rgb="FF000000"/>
            <rFont val="Tahoma"/>
            <family val="2"/>
          </rPr>
          <t xml:space="preserve">Klik op nieuwe kaart aanmaken;
</t>
        </r>
        <r>
          <rPr>
            <sz val="10"/>
            <color rgb="FF000000"/>
            <rFont val="Tahoma"/>
            <family val="2"/>
          </rPr>
          <t xml:space="preserve">Geef de lokatie van het evenement in, in het zoek venster;
</t>
        </r>
        <r>
          <rPr>
            <sz val="10"/>
            <color rgb="FF000000"/>
            <rFont val="Tahoma"/>
            <family val="2"/>
          </rPr>
          <t xml:space="preserve">Indien gewenst ga naar My Maps Help voor verdere opties.
</t>
        </r>
        <r>
          <rPr>
            <sz val="10"/>
            <color rgb="FF000000"/>
            <rFont val="Tahoma"/>
            <family val="2"/>
          </rPr>
          <t xml:space="preserve">Tips:
</t>
        </r>
        <r>
          <rPr>
            <sz val="10"/>
            <color rgb="FF000000"/>
            <rFont val="Tahoma"/>
            <family val="2"/>
          </rPr>
          <t xml:space="preserve">- enkel bij lijnen en pictogrammen kan je kleuren wijziggen;
</t>
        </r>
        <r>
          <rPr>
            <sz val="10"/>
            <color rgb="FF000000"/>
            <rFont val="Tahoma"/>
            <family val="2"/>
          </rPr>
          <t xml:space="preserve">- maak een laag aan per discipline (Organisatie, D1, D2, D3, D4, ...
</t>
        </r>
        <r>
          <rPr>
            <sz val="10"/>
            <color rgb="FF000000"/>
            <rFont val="Tahoma"/>
            <family val="2"/>
          </rPr>
          <t xml:space="preserve">- gebruik de meest geschikte pictogrammen voor elke discipline
</t>
        </r>
        <r>
          <rPr>
            <sz val="10"/>
            <color rgb="FF000000"/>
            <rFont val="Tahoma"/>
            <family val="2"/>
          </rPr>
          <t xml:space="preserve">- ga eerst naar voorbeeld weergeven
</t>
        </r>
        <r>
          <rPr>
            <sz val="10"/>
            <color rgb="FF000000"/>
            <rFont val="Tahoma"/>
            <family val="2"/>
          </rPr>
          <t xml:space="preserve">- deel de map met de brandweer D1 of Politie D3 of maak een printscreen (bij eenvoudige kaarten)
</t>
        </r>
        <r>
          <rPr>
            <sz val="10"/>
            <color rgb="FF000000"/>
            <rFont val="Tahoma"/>
            <family val="2"/>
          </rPr>
          <t xml:space="preserve">- geef D1 en D3 de machtigingen om de plannen te wijzigen. </t>
        </r>
        <r>
          <rPr>
            <b/>
            <sz val="10"/>
            <color rgb="FF000000"/>
            <rFont val="Tahoma"/>
            <family val="2"/>
          </rPr>
          <t>let op geef niet te veel mensen de rechten om te wijzigen - beter via mail aanpassingen vragen aan de ontwerper van de kaart -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 Thijs</author>
  </authors>
  <commentList>
    <comment ref="A11" authorId="0" shapeId="0" xr:uid="{00000000-0006-0000-0700-000001000000}">
      <text>
        <r>
          <rPr>
            <sz val="12"/>
            <color rgb="FF000000"/>
            <rFont val="Tahoma"/>
            <family val="2"/>
          </rPr>
          <t xml:space="preserve">Blijf kalm;
</t>
        </r>
        <r>
          <rPr>
            <sz val="12"/>
            <color rgb="FF000000"/>
            <rFont val="Tahoma"/>
            <family val="2"/>
          </rPr>
          <t xml:space="preserve">Deel de aanwezigen mede, de zaal - tent in kalmte te verlaten en zich op te stellen op de door u voorgestelde plaats of gebouw;
</t>
        </r>
        <r>
          <rPr>
            <sz val="12"/>
            <color rgb="FF000000"/>
            <rFont val="Tahoma"/>
            <family val="2"/>
          </rPr>
          <t xml:space="preserve">Zorg dat je steeds een vooraf bepaalde tekst bij de hand hebt;
</t>
        </r>
        <r>
          <rPr>
            <sz val="12"/>
            <color rgb="FF000000"/>
            <rFont val="Tahoma"/>
            <family val="2"/>
          </rPr>
          <t xml:space="preserve">Zorg ervoor dat je steeds een back-up bij de hand hebt (megafoon);
</t>
        </r>
        <r>
          <rPr>
            <sz val="12"/>
            <color rgb="FF000000"/>
            <rFont val="Tahoma"/>
            <family val="2"/>
          </rPr>
          <t xml:space="preserve">Test uw installaties vooraf;
</t>
        </r>
        <r>
          <rPr>
            <sz val="12"/>
            <color rgb="FF000000"/>
            <rFont val="Tahoma"/>
            <family val="2"/>
          </rPr>
          <t xml:space="preserve">zorg dat alle pictogrammen voldoende zichtbaar zijn en dat de veiligheidsverlichting werkt;
</t>
        </r>
        <r>
          <rPr>
            <sz val="12"/>
            <color rgb="FF000000"/>
            <rFont val="Tahoma"/>
            <family val="2"/>
          </rPr>
          <t xml:space="preserve">zorg dat de uitgangen en nooduitgangen steeds vrij zijn en blijven;
</t>
        </r>
        <r>
          <rPr>
            <sz val="12"/>
            <color rgb="FF000000"/>
            <rFont val="Tahoma"/>
            <family val="2"/>
          </rPr>
          <t xml:space="preserve">zorg dat iedereen buiten is;
</t>
        </r>
        <r>
          <rPr>
            <sz val="12"/>
            <color rgb="FF000000"/>
            <rFont val="Tahoma"/>
            <family val="2"/>
          </rPr>
          <t xml:space="preserve">Coördineer de evacuatie en behoud overzicht.
</t>
        </r>
      </text>
    </comment>
    <comment ref="A17" authorId="0" shapeId="0" xr:uid="{00000000-0006-0000-0700-000002000000}">
      <text>
        <r>
          <rPr>
            <sz val="12"/>
            <color rgb="FF000000"/>
            <rFont val="Tahoma"/>
            <family val="2"/>
          </rPr>
          <t xml:space="preserve">Zorg dat je de toestellen zonder nadenken kan bedienen;
</t>
        </r>
        <r>
          <rPr>
            <sz val="12"/>
            <color rgb="FF000000"/>
            <rFont val="Tahoma"/>
            <family val="2"/>
          </rPr>
          <t xml:space="preserve">Weet voorafgaandelijk, exact, waar de blustoestellen staan;
</t>
        </r>
        <r>
          <rPr>
            <sz val="12"/>
            <color rgb="FF000000"/>
            <rFont val="Tahoma"/>
            <family val="2"/>
          </rPr>
          <t xml:space="preserve">Zorg dat je geen brandgevoelige kledij draagt;
</t>
        </r>
        <r>
          <rPr>
            <sz val="12"/>
            <color rgb="FF000000"/>
            <rFont val="Tahoma"/>
            <family val="2"/>
          </rPr>
          <t xml:space="preserve">Weet met welk blusmiddel je wat kan blussen;
</t>
        </r>
        <r>
          <rPr>
            <sz val="12"/>
            <color rgb="FF000000"/>
            <rFont val="Tahoma"/>
            <family val="2"/>
          </rPr>
          <t xml:space="preserve">Oefen voorafgaandelijk met het blusdeken;
</t>
        </r>
      </text>
    </comment>
    <comment ref="A23" authorId="0" shapeId="0" xr:uid="{00000000-0006-0000-0700-000003000000}">
      <text>
        <r>
          <rPr>
            <sz val="12"/>
            <color rgb="FF000000"/>
            <rFont val="Tahoma"/>
            <family val="2"/>
          </rPr>
          <t xml:space="preserve">Eén persoon belt 112 en vermeld navolgend:
</t>
        </r>
        <r>
          <rPr>
            <sz val="12"/>
            <color rgb="FF000000"/>
            <rFont val="Tahoma"/>
            <family val="2"/>
          </rPr>
          <t xml:space="preserve">Uw naam en voornaam;
</t>
        </r>
        <r>
          <rPr>
            <sz val="12"/>
            <color rgb="FF000000"/>
            <rFont val="Tahoma"/>
            <family val="2"/>
          </rPr>
          <t xml:space="preserve">Waar doet de calamiteit zich voor;
</t>
        </r>
        <r>
          <rPr>
            <sz val="12"/>
            <color rgb="FF000000"/>
            <rFont val="Tahoma"/>
            <family val="2"/>
          </rPr>
          <t xml:space="preserve">Wat is er aan de hand (brand, gekwetste, zwaar gekwetste, ingevallen tent,...)
</t>
        </r>
        <r>
          <rPr>
            <sz val="12"/>
            <color rgb="FF000000"/>
            <rFont val="Tahoma"/>
            <family val="2"/>
          </rPr>
          <t xml:space="preserve">Hoeveel gekwetste zijn er;
</t>
        </r>
        <r>
          <rPr>
            <sz val="12"/>
            <color rgb="FF000000"/>
            <rFont val="Tahoma"/>
            <family val="2"/>
          </rPr>
          <t xml:space="preserve">Hoeveel bewuste, bewusteloze personen zijn er;
</t>
        </r>
        <r>
          <rPr>
            <sz val="12"/>
            <color rgb="FF000000"/>
            <rFont val="Tahoma"/>
            <family val="2"/>
          </rPr>
          <t xml:space="preserve">Moeten er personen worden bevrijd, ...
</t>
        </r>
      </text>
    </comment>
  </commentList>
</comments>
</file>

<file path=xl/sharedStrings.xml><?xml version="1.0" encoding="utf-8"?>
<sst xmlns="http://schemas.openxmlformats.org/spreadsheetml/2006/main" count="88" uniqueCount="64">
  <si>
    <t>Naam Evenement:</t>
  </si>
  <si>
    <t>Naam Organisatie</t>
  </si>
  <si>
    <t>Contactpersoon Evenement</t>
  </si>
  <si>
    <t>Telefoonnummer Contactpersoon</t>
  </si>
  <si>
    <t>GSM Contactpersoon</t>
  </si>
  <si>
    <t>Tijdsduur Evenement</t>
  </si>
  <si>
    <t>EHBO-koffer + verantwoordelijke hulpverlener</t>
  </si>
  <si>
    <t>Kruispost met minimale bezetting</t>
  </si>
  <si>
    <t>Kruispost met minimale bezetting + BLS</t>
  </si>
  <si>
    <t>Start Evenement: dd/mm/jjjj  uu:mm</t>
  </si>
  <si>
    <t>Einde Evenement: dd/mm/jjjj uu:mm</t>
  </si>
  <si>
    <t>GoogleMaps</t>
  </si>
  <si>
    <t>ALGEMENE INFORMATIE EVENEMENT</t>
  </si>
  <si>
    <t>Info</t>
  </si>
  <si>
    <t>Evacuatieverantwoordelijke</t>
  </si>
  <si>
    <t>Blusverantwoordelijke</t>
  </si>
  <si>
    <t>Opvang Hulpdiensten</t>
  </si>
  <si>
    <t>Voornaam  + achternaam</t>
  </si>
  <si>
    <t>GSM</t>
  </si>
  <si>
    <t>Paraf</t>
  </si>
  <si>
    <t>Info MyMaps</t>
  </si>
  <si>
    <t>Datum Evenement: dd/mm/jjjj</t>
  </si>
  <si>
    <t>Gemeente</t>
  </si>
  <si>
    <t>Postnummer</t>
  </si>
  <si>
    <t>Aantal te verwachten Bezoekers Hoogtepunt</t>
  </si>
  <si>
    <t>Gegevens Organisatie</t>
  </si>
  <si>
    <t>Gegevens evenement</t>
  </si>
  <si>
    <t>plak hier uw link</t>
  </si>
  <si>
    <t>Verantwoordelijke communicatie publiek</t>
  </si>
  <si>
    <t>Naam evenement</t>
  </si>
  <si>
    <t>Organisatie</t>
  </si>
  <si>
    <t>plaats</t>
  </si>
  <si>
    <t>Datum evenment</t>
  </si>
  <si>
    <t>Hoofd verantwoordelijke</t>
  </si>
  <si>
    <t>Aantal te verwachten Bezoekers &lt; 10j</t>
  </si>
  <si>
    <t>Aantal te verwachten Bezoekers &gt; 65j</t>
  </si>
  <si>
    <t>Aandacht:</t>
  </si>
  <si>
    <t>Brandweer:</t>
  </si>
  <si>
    <t>Prima dossier:</t>
  </si>
  <si>
    <t>D1-D2-D3</t>
  </si>
  <si>
    <t>Nieuw advies aanvragen</t>
  </si>
  <si>
    <t>Aantal te verwachten Bezoekers totaal/dag</t>
  </si>
  <si>
    <t>Straat &amp; nr.</t>
  </si>
  <si>
    <t>KBO nr. of Rijksregister nr.</t>
  </si>
  <si>
    <t>Mailadres verantwoordelijke</t>
  </si>
  <si>
    <t>Straat en nr. evenement</t>
  </si>
  <si>
    <t>postnummer</t>
  </si>
  <si>
    <t>Presesverkiezingen SOFA</t>
  </si>
  <si>
    <t>Diepenbeek</t>
  </si>
  <si>
    <t>Agoralaan Gebouw D</t>
  </si>
  <si>
    <t>4/05/2019 - 10/05/2019</t>
  </si>
  <si>
    <t>studentenvereniging SOFA</t>
  </si>
  <si>
    <t>Cis Schraeyen</t>
  </si>
  <si>
    <t>cis.schraeyen@student.uhasselt.be</t>
  </si>
  <si>
    <t>Russelenberg 25</t>
  </si>
  <si>
    <t>Tessenderlo</t>
  </si>
  <si>
    <t>Jasper Vanschoenwinkel</t>
  </si>
  <si>
    <t>Michiel Vandepoel</t>
  </si>
  <si>
    <t>Benito Lo Bue</t>
  </si>
  <si>
    <t>+32470866515</t>
  </si>
  <si>
    <t>+32484692235</t>
  </si>
  <si>
    <t>+32491068631</t>
  </si>
  <si>
    <t>+32474823483</t>
  </si>
  <si>
    <t>99.04.23-431.16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</si>
</sst>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13]d\ mmmm\ yyyy;@"/>
  </numFmts>
  <fonts count="27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22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6"/>
      <color rgb="FFFF0000"/>
      <name val="Segoe UI Symbol"/>
      <family val="2"/>
    </font>
    <font>
      <sz val="16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Tahoma"/>
      <family val="2"/>
    </font>
    <font>
      <b/>
      <sz val="14"/>
      <color rgb="FFFF000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4"/>
      <color rgb="FF000000"/>
      <name val="Verdana"/>
      <family val="2"/>
    </font>
    <font>
      <b/>
      <sz val="14"/>
      <color rgb="FF000000"/>
      <name val="Verdana"/>
      <family val="2"/>
    </font>
    <font>
      <sz val="18"/>
      <color rgb="FF000000"/>
      <name val="Verdana"/>
      <family val="2"/>
    </font>
    <font>
      <u/>
      <sz val="16"/>
      <color rgb="FF000000"/>
      <name val="Calibri"/>
      <family val="2"/>
    </font>
    <font>
      <b/>
      <u/>
      <sz val="16"/>
      <color rgb="FF000000"/>
      <name val="Calibri"/>
      <family val="2"/>
    </font>
    <font>
      <b/>
      <u/>
      <sz val="1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i/>
      <sz val="14"/>
      <color rgb="FFFF0000"/>
      <name val="Verdana"/>
      <family val="2"/>
    </font>
    <font>
      <b/>
      <u/>
      <sz val="12"/>
      <color rgb="FFFF0000"/>
      <name val="Segoe UI Symbo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/>
    <xf numFmtId="0" fontId="1" fillId="3" borderId="1" xfId="0" applyFont="1" applyFill="1" applyBorder="1" applyProtection="1">
      <protection locked="0"/>
    </xf>
    <xf numFmtId="49" fontId="1" fillId="3" borderId="1" xfId="0" applyNumberFormat="1" applyFont="1" applyFill="1" applyBorder="1" applyAlignment="1" applyProtection="1">
      <alignment horizontal="center"/>
      <protection locked="0"/>
    </xf>
    <xf numFmtId="0" fontId="22" fillId="3" borderId="1" xfId="0" applyFont="1" applyFill="1" applyBorder="1" applyAlignment="1" applyProtection="1">
      <alignment horizontal="left"/>
      <protection locked="0"/>
    </xf>
    <xf numFmtId="164" fontId="22" fillId="3" borderId="1" xfId="0" applyNumberFormat="1" applyFont="1" applyFill="1" applyBorder="1" applyAlignment="1" applyProtection="1">
      <alignment horizontal="left"/>
      <protection locked="0"/>
    </xf>
    <xf numFmtId="49" fontId="22" fillId="3" borderId="1" xfId="0" applyNumberFormat="1" applyFont="1" applyFill="1" applyBorder="1" applyAlignment="1" applyProtection="1">
      <alignment horizontal="left"/>
      <protection locked="0"/>
    </xf>
    <xf numFmtId="22" fontId="22" fillId="3" borderId="1" xfId="0" applyNumberFormat="1" applyFont="1" applyFill="1" applyBorder="1" applyAlignment="1" applyProtection="1">
      <alignment horizontal="left"/>
      <protection locked="0"/>
    </xf>
    <xf numFmtId="0" fontId="22" fillId="0" borderId="0" xfId="0" applyFont="1"/>
    <xf numFmtId="0" fontId="8" fillId="0" borderId="0" xfId="0" applyFont="1" applyAlignment="1">
      <alignment horizontal="left" vertical="center"/>
    </xf>
    <xf numFmtId="0" fontId="21" fillId="0" borderId="0" xfId="0" applyFont="1" applyAlignment="1">
      <alignment horizontal="left"/>
    </xf>
    <xf numFmtId="0" fontId="7" fillId="0" borderId="0" xfId="1"/>
    <xf numFmtId="0" fontId="10" fillId="0" borderId="0" xfId="0" applyFont="1"/>
    <xf numFmtId="0" fontId="12" fillId="0" borderId="0" xfId="0" applyFont="1"/>
    <xf numFmtId="0" fontId="10" fillId="3" borderId="0" xfId="0" applyFont="1" applyFill="1" applyAlignment="1">
      <alignment horizontal="left"/>
    </xf>
    <xf numFmtId="0" fontId="7" fillId="3" borderId="0" xfId="1" applyFill="1" applyAlignment="1" applyProtection="1">
      <alignment horizontal="left"/>
      <protection locked="0"/>
    </xf>
    <xf numFmtId="0" fontId="4" fillId="0" borderId="4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/>
    <xf numFmtId="0" fontId="1" fillId="3" borderId="1" xfId="0" applyFont="1" applyFill="1" applyBorder="1"/>
    <xf numFmtId="0" fontId="0" fillId="3" borderId="1" xfId="0" applyFill="1" applyBorder="1"/>
    <xf numFmtId="0" fontId="6" fillId="0" borderId="0" xfId="0" applyFont="1"/>
    <xf numFmtId="0" fontId="3" fillId="0" borderId="0" xfId="0" applyFon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24" fillId="4" borderId="6" xfId="0" applyFont="1" applyFill="1" applyBorder="1"/>
    <xf numFmtId="0" fontId="24" fillId="4" borderId="5" xfId="0" applyFont="1" applyFill="1" applyBorder="1"/>
    <xf numFmtId="22" fontId="22" fillId="3" borderId="2" xfId="0" applyNumberFormat="1" applyFont="1" applyFill="1" applyBorder="1" applyAlignment="1" applyProtection="1">
      <alignment horizontal="left"/>
      <protection locked="0"/>
    </xf>
    <xf numFmtId="46" fontId="23" fillId="0" borderId="7" xfId="0" applyNumberFormat="1" applyFont="1" applyBorder="1" applyAlignment="1">
      <alignment horizontal="left"/>
    </xf>
    <xf numFmtId="22" fontId="7" fillId="3" borderId="1" xfId="1" applyNumberFormat="1" applyFill="1" applyBorder="1" applyAlignment="1" applyProtection="1">
      <alignment horizontal="left"/>
      <protection locked="0"/>
    </xf>
    <xf numFmtId="0" fontId="26" fillId="0" borderId="5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23" fillId="0" borderId="0" xfId="0" applyFont="1" applyAlignment="1">
      <alignment horizontal="center"/>
    </xf>
    <xf numFmtId="0" fontId="23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0" fillId="2" borderId="0" xfId="1" applyFont="1" applyFill="1" applyAlignment="1" applyProtection="1">
      <alignment horizontal="center"/>
      <protection locked="0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/>
    </xf>
  </cellXfs>
  <cellStyles count="2">
    <cellStyle name="Hyperlink" xfId="1" builtinId="8"/>
    <cellStyle name="Standaard" xfId="0" builtinId="0"/>
  </cellStyles>
  <dxfs count="0"/>
  <tableStyles count="0" defaultTableStyle="TableStyleMedium9" defaultPivotStyle="PivotStyleMedium7"/>
  <colors>
    <mruColors>
      <color rgb="FFE200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19</xdr:row>
          <xdr:rowOff>251460</xdr:rowOff>
        </xdr:from>
        <xdr:to>
          <xdr:col>4</xdr:col>
          <xdr:colOff>556260</xdr:colOff>
          <xdr:row>21</xdr:row>
          <xdr:rowOff>259080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nl-BE" sz="14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INPLANTING</a:t>
              </a:r>
            </a:p>
            <a:p>
              <a:pPr algn="ctr" rtl="0">
                <a:defRPr sz="1000"/>
              </a:pPr>
              <a:r>
                <a:rPr lang="nl-BE" sz="14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PLAN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165100</xdr:colOff>
      <xdr:row>0</xdr:row>
      <xdr:rowOff>101600</xdr:rowOff>
    </xdr:from>
    <xdr:to>
      <xdr:col>2</xdr:col>
      <xdr:colOff>1350856</xdr:colOff>
      <xdr:row>6</xdr:row>
      <xdr:rowOff>97790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100" y="101600"/>
          <a:ext cx="7620000" cy="1219200"/>
        </a:xfrm>
        <a:prstGeom prst="rect">
          <a:avLst/>
        </a:prstGeom>
      </xdr:spPr>
    </xdr:pic>
    <xdr:clientData/>
  </xdr:twoCellAnchor>
  <xdr:twoCellAnchor editAs="oneCell">
    <xdr:from>
      <xdr:col>4</xdr:col>
      <xdr:colOff>598312</xdr:colOff>
      <xdr:row>15</xdr:row>
      <xdr:rowOff>73378</xdr:rowOff>
    </xdr:from>
    <xdr:to>
      <xdr:col>21</xdr:col>
      <xdr:colOff>817457</xdr:colOff>
      <xdr:row>24</xdr:row>
      <xdr:rowOff>95740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59712" y="3697111"/>
          <a:ext cx="7919155" cy="24512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22</xdr:row>
          <xdr:rowOff>160020</xdr:rowOff>
        </xdr:from>
        <xdr:to>
          <xdr:col>4</xdr:col>
          <xdr:colOff>556260</xdr:colOff>
          <xdr:row>24</xdr:row>
          <xdr:rowOff>99060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nl-BE" sz="14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ORGANISATIE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792480</xdr:colOff>
          <xdr:row>25</xdr:row>
          <xdr:rowOff>0</xdr:rowOff>
        </xdr:from>
        <xdr:to>
          <xdr:col>6</xdr:col>
          <xdr:colOff>121920</xdr:colOff>
          <xdr:row>27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nl-BE" sz="1400" b="1" i="1" u="none" strike="noStrike" baseline="0">
                  <a:solidFill>
                    <a:srgbClr val="FF0000"/>
                  </a:solidFill>
                  <a:latin typeface="Verdana"/>
                  <a:ea typeface="Verdana"/>
                </a:rPr>
                <a:t>Sla het bestand op en mail naar preventie@zuidwestlimburg.be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0</xdr:rowOff>
        </xdr:from>
        <xdr:to>
          <xdr:col>5</xdr:col>
          <xdr:colOff>0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nl-BE" sz="18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Ga Naar My Maps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</xdr:row>
      <xdr:rowOff>177800</xdr:rowOff>
    </xdr:from>
    <xdr:to>
      <xdr:col>25</xdr:col>
      <xdr:colOff>711200</xdr:colOff>
      <xdr:row>46</xdr:row>
      <xdr:rowOff>38100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0" y="1193800"/>
          <a:ext cx="20523200" cy="819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/>
            <a:t>Plak uw link in de daarvoor voorziene cel of maak</a:t>
          </a:r>
          <a:r>
            <a:rPr lang="nl-NL" sz="1400" baseline="0"/>
            <a:t> een print screen en plak hier of plak uw scan (zie voorbeeld)</a:t>
          </a:r>
          <a:endParaRPr lang="nl-NL" sz="1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</xdr:row>
          <xdr:rowOff>0</xdr:rowOff>
        </xdr:from>
        <xdr:to>
          <xdr:col>8</xdr:col>
          <xdr:colOff>800100</xdr:colOff>
          <xdr:row>3</xdr:row>
          <xdr:rowOff>175260</xdr:rowOff>
        </xdr:to>
        <xdr:sp macro="" textlink="">
          <xdr:nvSpPr>
            <xdr:cNvPr id="11266" name="Button 1026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Ga naar beginscherm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76200</xdr:colOff>
      <xdr:row>7</xdr:row>
      <xdr:rowOff>130629</xdr:rowOff>
    </xdr:from>
    <xdr:to>
      <xdr:col>11</xdr:col>
      <xdr:colOff>240890</xdr:colOff>
      <xdr:row>47</xdr:row>
      <xdr:rowOff>65315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ABE721E0-303F-4879-869F-C1887859A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534886"/>
          <a:ext cx="8775290" cy="7772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3</xdr:row>
          <xdr:rowOff>7620</xdr:rowOff>
        </xdr:from>
        <xdr:to>
          <xdr:col>7</xdr:col>
          <xdr:colOff>22860</xdr:colOff>
          <xdr:row>5</xdr:row>
          <xdr:rowOff>22860</xdr:rowOff>
        </xdr:to>
        <xdr:sp macro="" textlink="">
          <xdr:nvSpPr>
            <xdr:cNvPr id="22534" name="Button 6" descr="Ga naar beginscherm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2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Ga naar beginscherm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google.be/maps/about/mymaps/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rgb="FFFF0000"/>
    <pageSetUpPr fitToPage="1"/>
  </sheetPr>
  <dimension ref="A1:N40"/>
  <sheetViews>
    <sheetView showGridLines="0" showRowColHeaders="0" tabSelected="1" topLeftCell="A16" zoomScale="90" zoomScaleNormal="90" zoomScaleSheetLayoutView="90" zoomScalePageLayoutView="80" workbookViewId="0">
      <selection activeCell="B15" sqref="B15"/>
    </sheetView>
  </sheetViews>
  <sheetFormatPr defaultColWidth="11.19921875" defaultRowHeight="15.6" x14ac:dyDescent="0.3"/>
  <cols>
    <col min="1" max="1" width="50.5" bestFit="1" customWidth="1"/>
    <col min="2" max="2" width="33.69921875" customWidth="1"/>
    <col min="3" max="3" width="18.19921875" customWidth="1"/>
    <col min="7" max="7" width="0" hidden="1" customWidth="1"/>
    <col min="8" max="14" width="11.19921875" hidden="1" customWidth="1"/>
  </cols>
  <sheetData>
    <row r="1" spans="1:9" x14ac:dyDescent="0.3">
      <c r="A1" s="35"/>
      <c r="B1" s="35"/>
      <c r="C1" s="35"/>
      <c r="D1" s="35"/>
      <c r="E1" s="35"/>
    </row>
    <row r="2" spans="1:9" x14ac:dyDescent="0.3">
      <c r="A2" s="35"/>
      <c r="B2" s="35"/>
      <c r="C2" s="35"/>
      <c r="D2" s="35"/>
      <c r="E2" s="35"/>
    </row>
    <row r="3" spans="1:9" x14ac:dyDescent="0.3">
      <c r="A3" s="35"/>
      <c r="B3" s="35"/>
      <c r="C3" s="35"/>
      <c r="D3" s="35"/>
      <c r="E3" s="35"/>
    </row>
    <row r="4" spans="1:9" x14ac:dyDescent="0.3">
      <c r="A4" s="35"/>
      <c r="B4" s="35"/>
      <c r="C4" s="35"/>
      <c r="D4" s="35"/>
      <c r="E4" s="35"/>
    </row>
    <row r="5" spans="1:9" x14ac:dyDescent="0.3">
      <c r="A5" s="35"/>
      <c r="B5" s="35"/>
      <c r="C5" s="35"/>
      <c r="D5" s="35"/>
      <c r="E5" s="35"/>
    </row>
    <row r="6" spans="1:9" x14ac:dyDescent="0.3">
      <c r="A6" s="35"/>
      <c r="B6" s="35"/>
      <c r="C6" s="35"/>
      <c r="D6" s="35"/>
      <c r="E6" s="35"/>
    </row>
    <row r="7" spans="1:9" x14ac:dyDescent="0.3">
      <c r="A7" s="35"/>
      <c r="B7" s="35"/>
      <c r="C7" s="35"/>
      <c r="D7" s="35"/>
      <c r="E7" s="35"/>
    </row>
    <row r="8" spans="1:9" ht="28.8" x14ac:dyDescent="0.55000000000000004">
      <c r="A8" s="34" t="s">
        <v>12</v>
      </c>
      <c r="B8" s="34"/>
      <c r="C8" s="34"/>
      <c r="D8" s="34"/>
      <c r="E8" s="34"/>
      <c r="F8" s="20" t="s">
        <v>13</v>
      </c>
      <c r="G8" s="21"/>
      <c r="H8" s="21"/>
      <c r="I8">
        <f>COUNTBLANK(B10:B18)</f>
        <v>0</v>
      </c>
    </row>
    <row r="9" spans="1:9" ht="22.2" customHeight="1" x14ac:dyDescent="0.4">
      <c r="A9" s="32" t="s">
        <v>26</v>
      </c>
      <c r="B9" s="32"/>
      <c r="C9" s="7"/>
      <c r="I9">
        <f>COUNTBLANK(B20:B30)</f>
        <v>0</v>
      </c>
    </row>
    <row r="10" spans="1:9" ht="22.2" customHeight="1" x14ac:dyDescent="0.4">
      <c r="A10" s="7" t="s">
        <v>0</v>
      </c>
      <c r="B10" s="3" t="s">
        <v>47</v>
      </c>
      <c r="C10" s="7"/>
      <c r="I10">
        <f>SUM(I8:I9)</f>
        <v>0</v>
      </c>
    </row>
    <row r="11" spans="1:9" ht="22.2" customHeight="1" x14ac:dyDescent="0.4">
      <c r="A11" s="7" t="s">
        <v>42</v>
      </c>
      <c r="B11" s="3" t="s">
        <v>49</v>
      </c>
      <c r="C11" s="7"/>
      <c r="I11" t="b">
        <f>OR(B15&gt;2999,B16&gt;500,B17&gt;500,B18&gt;1499)</f>
        <v>0</v>
      </c>
    </row>
    <row r="12" spans="1:9" ht="22.2" customHeight="1" x14ac:dyDescent="0.4">
      <c r="A12" s="7" t="s">
        <v>22</v>
      </c>
      <c r="B12" s="3" t="s">
        <v>48</v>
      </c>
      <c r="C12" s="7"/>
      <c r="I12">
        <f>IF(B15&gt;9999,1,)</f>
        <v>0</v>
      </c>
    </row>
    <row r="13" spans="1:9" ht="22.2" customHeight="1" x14ac:dyDescent="0.4">
      <c r="A13" s="7" t="s">
        <v>23</v>
      </c>
      <c r="B13" s="3">
        <v>3590</v>
      </c>
      <c r="C13" s="7"/>
    </row>
    <row r="14" spans="1:9" ht="22.2" customHeight="1" x14ac:dyDescent="0.4">
      <c r="A14" s="7" t="s">
        <v>21</v>
      </c>
      <c r="B14" s="4" t="s">
        <v>50</v>
      </c>
      <c r="C14" s="7"/>
    </row>
    <row r="15" spans="1:9" ht="22.2" customHeight="1" x14ac:dyDescent="0.4">
      <c r="A15" s="7" t="s">
        <v>41</v>
      </c>
      <c r="B15" s="3">
        <v>80</v>
      </c>
      <c r="C15" s="7"/>
    </row>
    <row r="16" spans="1:9" ht="22.2" customHeight="1" x14ac:dyDescent="0.4">
      <c r="A16" s="7" t="s">
        <v>34</v>
      </c>
      <c r="B16" s="3">
        <v>0</v>
      </c>
      <c r="C16" s="7"/>
    </row>
    <row r="17" spans="1:11" ht="22.2" customHeight="1" x14ac:dyDescent="0.4">
      <c r="A17" s="7" t="s">
        <v>35</v>
      </c>
      <c r="B17" s="3">
        <v>0</v>
      </c>
      <c r="C17" s="7"/>
    </row>
    <row r="18" spans="1:11" ht="22.2" customHeight="1" x14ac:dyDescent="0.4">
      <c r="A18" s="7" t="s">
        <v>24</v>
      </c>
      <c r="B18" s="3">
        <v>100</v>
      </c>
      <c r="C18" s="7"/>
    </row>
    <row r="19" spans="1:11" ht="22.2" customHeight="1" x14ac:dyDescent="0.4">
      <c r="A19" s="32" t="s">
        <v>25</v>
      </c>
      <c r="B19" s="33"/>
      <c r="C19" s="7"/>
    </row>
    <row r="20" spans="1:11" ht="22.2" customHeight="1" x14ac:dyDescent="0.4">
      <c r="A20" s="7" t="s">
        <v>1</v>
      </c>
      <c r="B20" s="3" t="s">
        <v>51</v>
      </c>
      <c r="C20" s="7"/>
    </row>
    <row r="21" spans="1:11" ht="22.2" customHeight="1" x14ac:dyDescent="0.4">
      <c r="A21" s="7" t="s">
        <v>43</v>
      </c>
      <c r="B21" s="3" t="s">
        <v>63</v>
      </c>
      <c r="C21" s="7"/>
    </row>
    <row r="22" spans="1:11" ht="22.2" customHeight="1" x14ac:dyDescent="0.4">
      <c r="A22" s="7" t="s">
        <v>42</v>
      </c>
      <c r="B22" s="5" t="s">
        <v>54</v>
      </c>
      <c r="C22" s="7"/>
    </row>
    <row r="23" spans="1:11" ht="22.2" customHeight="1" x14ac:dyDescent="0.4">
      <c r="A23" s="7" t="s">
        <v>22</v>
      </c>
      <c r="B23" s="5" t="s">
        <v>55</v>
      </c>
      <c r="C23" s="7"/>
    </row>
    <row r="24" spans="1:11" ht="22.2" customHeight="1" x14ac:dyDescent="0.4">
      <c r="A24" s="7" t="s">
        <v>23</v>
      </c>
      <c r="B24" s="3">
        <v>3980</v>
      </c>
      <c r="C24" s="7"/>
    </row>
    <row r="25" spans="1:11" ht="22.2" customHeight="1" x14ac:dyDescent="0.4">
      <c r="A25" s="7" t="s">
        <v>2</v>
      </c>
      <c r="B25" s="3" t="s">
        <v>52</v>
      </c>
      <c r="C25" s="7"/>
    </row>
    <row r="26" spans="1:11" ht="22.2" customHeight="1" x14ac:dyDescent="0.4">
      <c r="A26" s="7" t="s">
        <v>3</v>
      </c>
      <c r="B26" s="3">
        <v>32470866515</v>
      </c>
      <c r="C26" s="7"/>
      <c r="J26">
        <f>IF(B15&gt;0,1,0)</f>
        <v>1</v>
      </c>
      <c r="K26" s="22" t="s">
        <v>6</v>
      </c>
    </row>
    <row r="27" spans="1:11" ht="22.2" customHeight="1" x14ac:dyDescent="0.4">
      <c r="A27" s="7" t="s">
        <v>4</v>
      </c>
      <c r="B27" s="3">
        <v>32470866515</v>
      </c>
      <c r="C27" s="7"/>
      <c r="J27">
        <f>IF(B15&gt;1499,1,0)</f>
        <v>0</v>
      </c>
      <c r="K27" s="22" t="s">
        <v>7</v>
      </c>
    </row>
    <row r="28" spans="1:11" ht="22.2" customHeight="1" x14ac:dyDescent="0.4">
      <c r="A28" s="7" t="s">
        <v>44</v>
      </c>
      <c r="B28" s="29" t="s">
        <v>53</v>
      </c>
      <c r="C28" s="7"/>
      <c r="J28">
        <f>IF(B15&gt;2999,1,0)</f>
        <v>0</v>
      </c>
      <c r="K28" s="22" t="s">
        <v>8</v>
      </c>
    </row>
    <row r="29" spans="1:11" ht="22.2" customHeight="1" x14ac:dyDescent="0.4">
      <c r="A29" s="7" t="s">
        <v>9</v>
      </c>
      <c r="B29" s="6">
        <v>43590.875</v>
      </c>
      <c r="C29" s="8"/>
      <c r="D29" s="8"/>
      <c r="J29">
        <f>IF(B15&gt;4999,1,0)</f>
        <v>0</v>
      </c>
      <c r="K29" s="22" t="s">
        <v>40</v>
      </c>
    </row>
    <row r="30" spans="1:11" ht="22.2" customHeight="1" thickBot="1" x14ac:dyDescent="0.45">
      <c r="A30" s="7" t="s">
        <v>10</v>
      </c>
      <c r="B30" s="27">
        <v>43595.083333333336</v>
      </c>
      <c r="C30" s="7"/>
      <c r="J30">
        <f>SUM(J26:J29)</f>
        <v>1</v>
      </c>
    </row>
    <row r="31" spans="1:11" ht="22.2" customHeight="1" thickBot="1" x14ac:dyDescent="0.45">
      <c r="A31" s="7" t="s">
        <v>5</v>
      </c>
      <c r="B31" s="28">
        <f>B30-B29</f>
        <v>4.2083333333357587</v>
      </c>
      <c r="C31" s="9"/>
    </row>
    <row r="32" spans="1:11" ht="25.2" thickBot="1" x14ac:dyDescent="0.5">
      <c r="A32" s="25" t="s">
        <v>38</v>
      </c>
      <c r="B32" s="31" t="str">
        <f>IF(J30=1,K26,IF(J30=2,K27,IF(J30=3,K28,IF(J30=4,K29,))))</f>
        <v>EHBO-koffer + verantwoordelijke hulpverlener</v>
      </c>
      <c r="C32" s="31"/>
      <c r="D32" s="31"/>
      <c r="E32" s="31"/>
    </row>
    <row r="33" spans="1:5" ht="25.2" thickBot="1" x14ac:dyDescent="0.5">
      <c r="A33" s="26" t="s">
        <v>37</v>
      </c>
      <c r="B33" s="31">
        <f>IF(I11,"Er is een brandweercontrole ter plaatse noodzakelijk",)</f>
        <v>0</v>
      </c>
      <c r="C33" s="31"/>
      <c r="D33" s="31"/>
      <c r="E33" s="31"/>
    </row>
    <row r="34" spans="1:5" ht="25.2" thickBot="1" x14ac:dyDescent="0.5">
      <c r="A34" s="26" t="s">
        <v>39</v>
      </c>
      <c r="B34" s="31">
        <f>IF(I12=1,"Er is een veiligheidsoverleg nodig",)</f>
        <v>0</v>
      </c>
      <c r="C34" s="31"/>
      <c r="D34" s="31"/>
      <c r="E34" s="31"/>
    </row>
    <row r="35" spans="1:5" ht="24" thickBot="1" x14ac:dyDescent="0.5">
      <c r="A35" s="26" t="s">
        <v>36</v>
      </c>
      <c r="B35" s="30" t="str">
        <f>IF(I10=0,"Ga verder met op de grijze knoppen een voor een te klikken","U heeft niet alle velden ingevuld - vul aan aub")</f>
        <v>Ga verder met op de grijze knoppen een voor een te klikken</v>
      </c>
      <c r="C35" s="30"/>
      <c r="D35" s="30"/>
      <c r="E35" s="30"/>
    </row>
    <row r="40" spans="1:5" x14ac:dyDescent="0.3">
      <c r="A40" s="23"/>
      <c r="B40" s="24"/>
    </row>
  </sheetData>
  <sheetProtection algorithmName="SHA-512" hashValue="3n6LFo5qbjS7/m7JHcDSs1mrPe5WBZkEUy48M9qJujJojqC5ZAIwKA370WIqmMDDNWayhjDoRcrPkJLWsTZ2gw==" saltValue="9qqt4oZIP4ORnZCyzmR5Tg==" spinCount="100000" sheet="1" objects="1" scenarios="1" selectLockedCells="1"/>
  <customSheetViews>
    <customSheetView guid="{347D868E-E11A-5449-816D-9BC9140AEA2D}">
      <selection activeCell="B13" sqref="B13"/>
      <pageMargins left="0.7" right="0.7" top="0.75" bottom="0.75" header="0.3" footer="0.3"/>
      <pageSetup paperSize="9" orientation="portrait" horizontalDpi="0" verticalDpi="0"/>
    </customSheetView>
  </customSheetViews>
  <mergeCells count="8">
    <mergeCell ref="B35:E35"/>
    <mergeCell ref="B34:E34"/>
    <mergeCell ref="A19:B19"/>
    <mergeCell ref="A8:E8"/>
    <mergeCell ref="A1:E7"/>
    <mergeCell ref="A9:B9"/>
    <mergeCell ref="B32:E32"/>
    <mergeCell ref="B33:E33"/>
  </mergeCells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Footer>&amp;L&amp;D&amp;R&amp;T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Knop4_Klikken">
                <anchor moveWithCells="1">
                  <from>
                    <xdr:col>2</xdr:col>
                    <xdr:colOff>800100</xdr:colOff>
                    <xdr:row>19</xdr:row>
                    <xdr:rowOff>251460</xdr:rowOff>
                  </from>
                  <to>
                    <xdr:col>4</xdr:col>
                    <xdr:colOff>556260</xdr:colOff>
                    <xdr:row>21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Gegevensaanvrager_Knop17_Klikken">
                <anchor moveWithCells="1" sizeWithCells="1">
                  <from>
                    <xdr:col>2</xdr:col>
                    <xdr:colOff>807720</xdr:colOff>
                    <xdr:row>22</xdr:row>
                    <xdr:rowOff>160020</xdr:rowOff>
                  </from>
                  <to>
                    <xdr:col>4</xdr:col>
                    <xdr:colOff>556260</xdr:colOff>
                    <xdr:row>24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Knop18_Klikken">
                <anchor moveWithCells="1" sizeWithCells="1">
                  <from>
                    <xdr:col>2</xdr:col>
                    <xdr:colOff>792480</xdr:colOff>
                    <xdr:row>25</xdr:row>
                    <xdr:rowOff>0</xdr:rowOff>
                  </from>
                  <to>
                    <xdr:col>6</xdr:col>
                    <xdr:colOff>121920</xdr:colOff>
                    <xdr:row>27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6">
    <tabColor theme="4"/>
    <pageSetUpPr fitToPage="1"/>
  </sheetPr>
  <dimension ref="A1:O43"/>
  <sheetViews>
    <sheetView showGridLines="0" showRowColHeaders="0" topLeftCell="B1" zoomScale="70" zoomScaleNormal="70" zoomScaleSheetLayoutView="90" workbookViewId="0"/>
  </sheetViews>
  <sheetFormatPr defaultColWidth="10.69921875" defaultRowHeight="15.6" x14ac:dyDescent="0.3"/>
  <cols>
    <col min="1" max="1" width="10.69921875" hidden="1" customWidth="1"/>
    <col min="11" max="11" width="16.5" customWidth="1"/>
  </cols>
  <sheetData>
    <row r="1" spans="1:15" x14ac:dyDescent="0.3">
      <c r="A1" s="10" t="s">
        <v>11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</row>
    <row r="2" spans="1:15" ht="18" x14ac:dyDescent="0.35">
      <c r="B2" s="11"/>
      <c r="C2" s="11"/>
      <c r="D2" s="11"/>
      <c r="E2" s="11"/>
      <c r="F2" s="11"/>
      <c r="G2" s="11"/>
      <c r="H2" s="11"/>
      <c r="I2" s="11"/>
      <c r="J2" s="11"/>
      <c r="K2" s="12" t="s">
        <v>20</v>
      </c>
      <c r="L2" s="11"/>
      <c r="M2" s="11"/>
      <c r="N2" s="11"/>
      <c r="O2" s="11"/>
    </row>
    <row r="3" spans="1:15" x14ac:dyDescent="0.3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</row>
    <row r="4" spans="1:15" x14ac:dyDescent="0.3">
      <c r="B4" s="11"/>
      <c r="C4" s="11"/>
      <c r="D4" s="11"/>
      <c r="E4" s="11"/>
      <c r="F4" s="11"/>
      <c r="G4" s="11"/>
      <c r="H4" s="11"/>
      <c r="I4" s="11"/>
      <c r="J4" s="36" t="str">
        <f>HYPERLINK(F5,"Ga Naar Kaart")</f>
        <v>Ga Naar Kaart</v>
      </c>
      <c r="K4" s="36"/>
      <c r="L4" s="11"/>
      <c r="M4" s="11"/>
      <c r="N4" s="11"/>
      <c r="O4" s="11"/>
    </row>
    <row r="5" spans="1:15" x14ac:dyDescent="0.3">
      <c r="B5" s="11"/>
      <c r="C5" s="11"/>
      <c r="D5" s="11"/>
      <c r="E5" s="11"/>
      <c r="F5" s="14" t="s">
        <v>27</v>
      </c>
      <c r="G5" s="13"/>
      <c r="H5" s="13"/>
      <c r="I5" s="13"/>
      <c r="J5" s="13"/>
      <c r="K5" s="13"/>
      <c r="L5" s="13"/>
      <c r="M5" s="13"/>
      <c r="N5" s="13"/>
      <c r="O5" s="11"/>
    </row>
    <row r="6" spans="1:15" x14ac:dyDescent="0.3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</row>
    <row r="43" spans="4:4" x14ac:dyDescent="0.3">
      <c r="D43" s="10"/>
    </row>
  </sheetData>
  <sheetProtection algorithmName="SHA-512" hashValue="vXJt4Zt0MyXK+R4Cl4tXpbCOkGf9CDBcbDT10/YsSEhWuL6IqNceQMcXwGL6VkLRcbN+b5Xh6g/pJokwa2smSw==" saltValue="X3qUGJtv5qrv1ZrjK2cIkQ==" spinCount="100000" sheet="1" insertHyperlinks="0" selectLockedCells="1"/>
  <mergeCells count="1">
    <mergeCell ref="J4:K4"/>
  </mergeCells>
  <hyperlinks>
    <hyperlink ref="A1" r:id="rId1" xr:uid="{00000000-0004-0000-0600-000000000000}"/>
  </hyperlinks>
  <pageMargins left="0.70866141732283472" right="0.70866141732283472" top="0.74803149606299213" bottom="0.74803149606299213" header="0.31496062992125984" footer="0.31496062992125984"/>
  <pageSetup paperSize="9" scale="43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Knop3_Klikken">
                <anchor moveWithCells="1" sizeWithCells="1">
                  <from>
                    <xdr:col>1</xdr:col>
                    <xdr:colOff>228600</xdr:colOff>
                    <xdr:row>1</xdr:row>
                    <xdr:rowOff>0</xdr:rowOff>
                  </from>
                  <to>
                    <xdr:col>5</xdr:col>
                    <xdr:colOff>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6" name="Button 1026">
              <controlPr defaultSize="0" print="0" autoFill="0" autoPict="0" macro="[0]!Knop1026_Klikken">
                <anchor moveWithCells="1" sizeWithCells="1">
                  <from>
                    <xdr:col>5</xdr:col>
                    <xdr:colOff>822960</xdr:colOff>
                    <xdr:row>1</xdr:row>
                    <xdr:rowOff>0</xdr:rowOff>
                  </from>
                  <to>
                    <xdr:col>8</xdr:col>
                    <xdr:colOff>800100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>
    <tabColor rgb="FFFFC000"/>
    <pageSetUpPr fitToPage="1"/>
  </sheetPr>
  <dimension ref="A1:D28"/>
  <sheetViews>
    <sheetView showGridLines="0" showRowColHeaders="0" topLeftCell="A25" zoomScale="80" zoomScaleNormal="80" workbookViewId="0">
      <selection activeCell="C18" sqref="C18"/>
    </sheetView>
  </sheetViews>
  <sheetFormatPr defaultColWidth="11.19921875" defaultRowHeight="15.6" x14ac:dyDescent="0.3"/>
  <cols>
    <col min="1" max="1" width="40.19921875" bestFit="1" customWidth="1"/>
    <col min="2" max="2" width="43" customWidth="1"/>
    <col min="3" max="3" width="23.5" customWidth="1"/>
    <col min="4" max="4" width="18.69921875" customWidth="1"/>
  </cols>
  <sheetData>
    <row r="1" spans="1:4" ht="25.2" customHeight="1" x14ac:dyDescent="0.3"/>
    <row r="2" spans="1:4" ht="25.2" customHeight="1" x14ac:dyDescent="0.35">
      <c r="A2" s="16" t="s">
        <v>29</v>
      </c>
      <c r="B2" s="38" t="str">
        <f>'Gegevens aanvrager'!B10</f>
        <v>Presesverkiezingen SOFA</v>
      </c>
      <c r="C2" s="38"/>
      <c r="D2" s="38"/>
    </row>
    <row r="3" spans="1:4" ht="25.2" customHeight="1" x14ac:dyDescent="0.35">
      <c r="A3" s="16" t="s">
        <v>30</v>
      </c>
      <c r="B3" s="38">
        <f>'Gegevens aanvrager'!B19</f>
        <v>0</v>
      </c>
      <c r="C3" s="38"/>
      <c r="D3" s="38"/>
    </row>
    <row r="4" spans="1:4" ht="25.2" customHeight="1" x14ac:dyDescent="0.35">
      <c r="A4" s="16" t="s">
        <v>45</v>
      </c>
      <c r="B4" s="38" t="str">
        <f>'Gegevens aanvrager'!B11</f>
        <v>Agoralaan Gebouw D</v>
      </c>
      <c r="C4" s="38"/>
      <c r="D4" s="38"/>
    </row>
    <row r="5" spans="1:4" ht="25.2" customHeight="1" x14ac:dyDescent="0.35">
      <c r="A5" s="16" t="s">
        <v>31</v>
      </c>
      <c r="B5" s="38" t="str">
        <f>'Gegevens aanvrager'!B12</f>
        <v>Diepenbeek</v>
      </c>
      <c r="C5" s="38"/>
      <c r="D5" s="38"/>
    </row>
    <row r="6" spans="1:4" ht="25.2" customHeight="1" x14ac:dyDescent="0.35">
      <c r="A6" s="16" t="s">
        <v>46</v>
      </c>
      <c r="B6" s="38" t="str">
        <f>'Gegevens aanvrager'!B12</f>
        <v>Diepenbeek</v>
      </c>
      <c r="C6" s="38"/>
      <c r="D6" s="38"/>
    </row>
    <row r="7" spans="1:4" ht="25.2" customHeight="1" x14ac:dyDescent="0.35">
      <c r="A7" s="16" t="s">
        <v>32</v>
      </c>
      <c r="B7" s="38" t="str">
        <f>'Gegevens aanvrager'!B14</f>
        <v>4/05/2019 - 10/05/2019</v>
      </c>
      <c r="C7" s="38"/>
      <c r="D7" s="38"/>
    </row>
    <row r="8" spans="1:4" ht="25.2" customHeight="1" x14ac:dyDescent="0.35">
      <c r="A8" s="16"/>
      <c r="B8" s="15" t="s">
        <v>17</v>
      </c>
      <c r="C8" s="15" t="s">
        <v>18</v>
      </c>
      <c r="D8" s="15" t="s">
        <v>19</v>
      </c>
    </row>
    <row r="9" spans="1:4" ht="22.2" customHeight="1" x14ac:dyDescent="0.35">
      <c r="A9" s="16" t="s">
        <v>33</v>
      </c>
      <c r="B9" s="1" t="s">
        <v>52</v>
      </c>
      <c r="C9" s="2" t="s">
        <v>59</v>
      </c>
      <c r="D9" s="19"/>
    </row>
    <row r="10" spans="1:4" ht="22.2" customHeight="1" x14ac:dyDescent="0.35">
      <c r="A10" s="17" t="s">
        <v>28</v>
      </c>
      <c r="B10" s="1" t="s">
        <v>52</v>
      </c>
      <c r="C10" s="2" t="s">
        <v>59</v>
      </c>
      <c r="D10" s="19"/>
    </row>
    <row r="11" spans="1:4" ht="22.2" customHeight="1" x14ac:dyDescent="0.35">
      <c r="A11" s="37" t="s">
        <v>14</v>
      </c>
      <c r="B11" s="1" t="s">
        <v>52</v>
      </c>
      <c r="C11" s="2" t="s">
        <v>59</v>
      </c>
      <c r="D11" s="19"/>
    </row>
    <row r="12" spans="1:4" ht="22.2" customHeight="1" x14ac:dyDescent="0.35">
      <c r="A12" s="37"/>
      <c r="B12" s="1" t="s">
        <v>56</v>
      </c>
      <c r="C12" s="2" t="s">
        <v>60</v>
      </c>
      <c r="D12" s="19"/>
    </row>
    <row r="13" spans="1:4" ht="22.2" customHeight="1" x14ac:dyDescent="0.35">
      <c r="A13" s="37"/>
      <c r="B13" s="1" t="s">
        <v>57</v>
      </c>
      <c r="C13" s="2" t="s">
        <v>61</v>
      </c>
      <c r="D13" s="19"/>
    </row>
    <row r="14" spans="1:4" ht="22.2" customHeight="1" x14ac:dyDescent="0.35">
      <c r="A14" s="37"/>
      <c r="B14" s="1" t="s">
        <v>58</v>
      </c>
      <c r="C14" s="2" t="s">
        <v>62</v>
      </c>
      <c r="D14" s="19"/>
    </row>
    <row r="15" spans="1:4" ht="22.2" customHeight="1" x14ac:dyDescent="0.35">
      <c r="A15" s="37"/>
      <c r="B15" s="1"/>
      <c r="C15" s="2"/>
      <c r="D15" s="19"/>
    </row>
    <row r="16" spans="1:4" ht="22.2" customHeight="1" x14ac:dyDescent="0.35">
      <c r="A16" s="37"/>
      <c r="B16" s="1"/>
      <c r="C16" s="2"/>
      <c r="D16" s="19"/>
    </row>
    <row r="17" spans="1:4" ht="22.2" customHeight="1" x14ac:dyDescent="0.35">
      <c r="A17" s="37" t="s">
        <v>15</v>
      </c>
      <c r="B17" s="1" t="s">
        <v>52</v>
      </c>
      <c r="C17" s="2" t="s">
        <v>59</v>
      </c>
      <c r="D17" s="19"/>
    </row>
    <row r="18" spans="1:4" ht="22.2" customHeight="1" x14ac:dyDescent="0.35">
      <c r="A18" s="37"/>
      <c r="B18" s="1" t="s">
        <v>56</v>
      </c>
      <c r="C18" s="2" t="s">
        <v>60</v>
      </c>
      <c r="D18" s="19"/>
    </row>
    <row r="19" spans="1:4" ht="22.2" customHeight="1" x14ac:dyDescent="0.35">
      <c r="A19" s="37"/>
      <c r="B19" s="1" t="s">
        <v>57</v>
      </c>
      <c r="C19" s="2" t="s">
        <v>61</v>
      </c>
      <c r="D19" s="19"/>
    </row>
    <row r="20" spans="1:4" ht="22.2" customHeight="1" x14ac:dyDescent="0.35">
      <c r="A20" s="37"/>
      <c r="B20" s="1" t="s">
        <v>58</v>
      </c>
      <c r="C20" s="2" t="s">
        <v>62</v>
      </c>
      <c r="D20" s="19"/>
    </row>
    <row r="21" spans="1:4" ht="22.2" customHeight="1" x14ac:dyDescent="0.35">
      <c r="A21" s="37"/>
      <c r="B21" s="1"/>
      <c r="C21" s="2"/>
      <c r="D21" s="19"/>
    </row>
    <row r="22" spans="1:4" ht="22.2" customHeight="1" x14ac:dyDescent="0.35">
      <c r="A22" s="37"/>
      <c r="B22" s="1"/>
      <c r="C22" s="1"/>
      <c r="D22" s="18"/>
    </row>
    <row r="23" spans="1:4" ht="22.2" customHeight="1" x14ac:dyDescent="0.35">
      <c r="A23" s="37" t="s">
        <v>16</v>
      </c>
      <c r="B23" s="1" t="s">
        <v>52</v>
      </c>
      <c r="C23" s="2" t="s">
        <v>59</v>
      </c>
      <c r="D23" s="18"/>
    </row>
    <row r="24" spans="1:4" ht="22.2" customHeight="1" x14ac:dyDescent="0.35">
      <c r="A24" s="37"/>
      <c r="B24" s="1" t="s">
        <v>56</v>
      </c>
      <c r="C24" s="2" t="s">
        <v>60</v>
      </c>
      <c r="D24" s="18"/>
    </row>
    <row r="25" spans="1:4" ht="22.2" customHeight="1" x14ac:dyDescent="0.35">
      <c r="A25" s="37"/>
      <c r="B25" s="1" t="s">
        <v>57</v>
      </c>
      <c r="C25" s="2" t="s">
        <v>61</v>
      </c>
      <c r="D25" s="18"/>
    </row>
    <row r="26" spans="1:4" ht="22.2" customHeight="1" x14ac:dyDescent="0.35">
      <c r="A26" s="37"/>
      <c r="B26" s="1" t="s">
        <v>58</v>
      </c>
      <c r="C26" s="2" t="s">
        <v>62</v>
      </c>
      <c r="D26" s="18"/>
    </row>
    <row r="27" spans="1:4" ht="22.2" customHeight="1" x14ac:dyDescent="0.35">
      <c r="A27" s="37"/>
      <c r="B27" s="1"/>
      <c r="C27" s="1"/>
      <c r="D27" s="18"/>
    </row>
    <row r="28" spans="1:4" ht="22.2" customHeight="1" x14ac:dyDescent="0.35">
      <c r="A28" s="37"/>
      <c r="B28" s="1"/>
      <c r="C28" s="1"/>
      <c r="D28" s="18"/>
    </row>
  </sheetData>
  <sheetProtection algorithmName="SHA-512" hashValue="OBJPH766QBbfsaPbEulRyLJ7cGRjP2LyNNkfzFcchVEjEsROA7z8aYzEFY+oKGISRiNwexEs40711VXxDzwG9A==" saltValue="rJHCIKzR/LCuNbP+mkiSDA==" spinCount="100000" sheet="1" selectLockedCells="1"/>
  <mergeCells count="9">
    <mergeCell ref="A11:A16"/>
    <mergeCell ref="A17:A22"/>
    <mergeCell ref="A23:A28"/>
    <mergeCell ref="B2:D2"/>
    <mergeCell ref="B3:D3"/>
    <mergeCell ref="B4:D4"/>
    <mergeCell ref="B5:D5"/>
    <mergeCell ref="B7:D7"/>
    <mergeCell ref="B6:D6"/>
  </mergeCells>
  <pageMargins left="0.23622047244094491" right="0.23622047244094491" top="0.74803149606299213" bottom="0.74803149606299213" header="0.31496062992125984" footer="0.31496062992125984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4" r:id="rId4" name="Button 6">
              <controlPr defaultSize="0" print="0" autoFill="0" autoPict="0" macro="[0]!Knop16_Klikken" altText="Ga naar beginscherm">
                <anchor moveWithCells="1" sizeWithCells="1">
                  <from>
                    <xdr:col>4</xdr:col>
                    <xdr:colOff>22860</xdr:colOff>
                    <xdr:row>3</xdr:row>
                    <xdr:rowOff>7620</xdr:rowOff>
                  </from>
                  <to>
                    <xdr:col>7</xdr:col>
                    <xdr:colOff>22860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Gegevens aanvrager</vt:lpstr>
      <vt:lpstr>Inplantingsplan</vt:lpstr>
      <vt:lpstr>Organisatie</vt:lpstr>
      <vt:lpstr>'Gegevens aanvrager'!Afdrukbereik</vt:lpstr>
      <vt:lpstr>Inplantingsplan!Afdrukbereik</vt:lpstr>
      <vt:lpstr>Organisatie!Afdrukbereik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Nele Rozak</dc:creator>
  <cp:lastModifiedBy>Benito Lo Bue</cp:lastModifiedBy>
  <cp:lastPrinted>2018-10-04T10:19:51Z</cp:lastPrinted>
  <dcterms:created xsi:type="dcterms:W3CDTF">2017-11-01T14:38:29Z</dcterms:created>
  <dcterms:modified xsi:type="dcterms:W3CDTF">2019-03-14T16:05:28Z</dcterms:modified>
</cp:coreProperties>
</file>